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cording settings" sheetId="1" state="visible" r:id="rId3"/>
    <sheet name="Timing" sheetId="2" state="visible" r:id="rId4"/>
    <sheet name="Slopes and results" sheetId="3" state="visible" r:id="rId5"/>
    <sheet name="Uncertainty budget" sheetId="4" state="visible" r:id="rId6"/>
    <sheet name="Input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<sst xmlns="http://schemas.openxmlformats.org/spreadsheetml/2006/main" count="120" uniqueCount="105">
  <si>
    <t xml:space="preserve">Recording settings</t>
  </si>
  <si>
    <t xml:space="preserve">Setting</t>
  </si>
  <si>
    <t xml:space="preserve">Value</t>
  </si>
  <si>
    <t xml:space="preserve">Unit</t>
  </si>
  <si>
    <t xml:space="preserve">Note</t>
  </si>
  <si>
    <t xml:space="preserve">Gyroscope rate</t>
  </si>
  <si>
    <t xml:space="preserve">Hz</t>
  </si>
  <si>
    <t xml:space="preserve">Accelerometer rate</t>
  </si>
  <si>
    <t xml:space="preserve">not used</t>
  </si>
  <si>
    <t xml:space="preserve">Magnetometer rate</t>
  </si>
  <si>
    <t xml:space="preserve">Graph range</t>
  </si>
  <si>
    <t xml:space="preserve">rad/s</t>
  </si>
  <si>
    <t xml:space="preserve">±20 rad/s on the app graph</t>
  </si>
  <si>
    <t xml:space="preserve">Reading resolution, time</t>
  </si>
  <si>
    <t xml:space="preserve">s per pixel</t>
  </si>
  <si>
    <t xml:space="preserve">Reading resolution, ω</t>
  </si>
  <si>
    <t xml:space="preserve">rad/s per pixel</t>
  </si>
  <si>
    <t xml:space="preserve">All values read pixel by pixel off the iOLab app screenshots of the five takes, 23 October 2026.</t>
  </si>
  <si>
    <t xml:space="preserve">Timing of each take (iOLab clock of each recording)</t>
  </si>
  <si>
    <t xml:space="preserve">Take</t>
  </si>
  <si>
    <t xml:space="preserve">Release (s)</t>
  </si>
  <si>
    <t xml:space="preserve">ω reaches 20 rad/s (s)</t>
  </si>
  <si>
    <t xml:space="preserve">Back on screen (s)</t>
  </si>
  <si>
    <t xml:space="preserve">Release to 20 rad/s (s)</t>
  </si>
  <si>
    <t xml:space="preserve">Release to back on screen (s)</t>
  </si>
  <si>
    <t xml:space="preserve">Mean</t>
  </si>
  <si>
    <t xml:space="preserve">Release: where the fitted straight line of ω crosses zero. Back on screen: the curve comes back above 20 rad/s after the body has left the board.</t>
  </si>
  <si>
    <t xml:space="preserve">Slopes and results of each take</t>
  </si>
  <si>
    <t xml:space="preserve">α, Part 2 (rad/s²)</t>
  </si>
  <si>
    <t xml:space="preserve">α fit SE (rad/s²)</t>
  </si>
  <si>
    <t xml:space="preserve">k, Part 1 (rad/s²)</t>
  </si>
  <si>
    <t xml:space="preserve">k fit SE (rad/s²)</t>
  </si>
  <si>
    <t xml:space="preserve">Angle turned at 19.5 rad/s (rad)</t>
  </si>
  <si>
    <t xml:space="preserve">Distance rolled at 19.5 rad/s (m)</t>
  </si>
  <si>
    <t xml:space="preserve">I iOLab, Part 1 (×10⁻⁴ kg m²)</t>
  </si>
  <si>
    <t xml:space="preserve">I iOLab, Part 2 (×10⁻⁴ kg m²)</t>
  </si>
  <si>
    <t xml:space="preserve">I_P, Part 1 (kg m²)</t>
  </si>
  <si>
    <t xml:space="preserve">I_P, Part 2 (kg m²)</t>
  </si>
  <si>
    <t xml:space="preserve">SDOM</t>
  </si>
  <si>
    <t xml:space="preserve">Final</t>
  </si>
  <si>
    <t xml:space="preserve">± total</t>
  </si>
  <si>
    <t xml:space="preserve">α: slope of ω against time, fitted between 2 and 18 rad/s. k: slope of ω² against the angle turned, fitted between 3 and 19 rad/s.</t>
  </si>
  <si>
    <t xml:space="preserve">Distance rolled = angle turned × R. Part 1: I_P = 2 M g R sin θ / k. Part 2: I_P = M g R sin θ / α. I iOLab = I_P − M R² − I rolls.</t>
  </si>
  <si>
    <t xml:space="preserve">Final row: computed from the mean slopes. ± total: full uncertainty from the budget sheet, not the SDOM.</t>
  </si>
  <si>
    <t xml:space="preserve">Uncertainty budget for I iOLab (kg m²)</t>
  </si>
  <si>
    <t xml:space="preserve">Input</t>
  </si>
  <si>
    <t xml:space="preserve">Part 1, energy</t>
  </si>
  <si>
    <t xml:space="preserve">Part 2, torque</t>
  </si>
  <si>
    <t xml:space="preserve">How</t>
  </si>
  <si>
    <t xml:space="preserve">Angle</t>
  </si>
  <si>
    <t xml:space="preserve">I_P × δsin θ / sin θ</t>
  </si>
  <si>
    <t xml:space="preserve">Gyroscope scale</t>
  </si>
  <si>
    <t xml:space="preserve">I_P × 1 %</t>
  </si>
  <si>
    <t xml:space="preserve">Roll model</t>
  </si>
  <si>
    <t xml:space="preserve">two layer model minus hollow cylinder</t>
  </si>
  <si>
    <t xml:space="preserve">Scatter of takes</t>
  </si>
  <si>
    <t xml:space="preserve">I_P × SDOM / mean slope</t>
  </si>
  <si>
    <t xml:space="preserve">R</t>
  </si>
  <si>
    <t xml:space="preserve">|∂I iOLab/∂R| × δR</t>
  </si>
  <si>
    <t xml:space="preserve">r</t>
  </si>
  <si>
    <t xml:space="preserve">m rolls × r × δr</t>
  </si>
  <si>
    <t xml:space="preserve">Screen reading</t>
  </si>
  <si>
    <t xml:space="preserve">I_P × 0.16 %</t>
  </si>
  <si>
    <t xml:space="preserve">M</t>
  </si>
  <si>
    <t xml:space="preserve">|∂I iOLab/∂M| × δM</t>
  </si>
  <si>
    <t xml:space="preserve">Total</t>
  </si>
  <si>
    <t xml:space="preserve">Each term: |∂I iOLab/∂x| × δx. Terms added in quadrature.</t>
  </si>
  <si>
    <t xml:space="preserve">Inputs for the formulas</t>
  </si>
  <si>
    <t xml:space="preserve">Quantity</t>
  </si>
  <si>
    <t xml:space="preserve">Uncertainty</t>
  </si>
  <si>
    <t xml:space="preserve">Source</t>
  </si>
  <si>
    <t xml:space="preserve">g</t>
  </si>
  <si>
    <t xml:space="preserve">m/s²</t>
  </si>
  <si>
    <t xml:space="preserve">course value</t>
  </si>
  <si>
    <t xml:space="preserve">M, whole body</t>
  </si>
  <si>
    <t xml:space="preserve">kg</t>
  </si>
  <si>
    <t xml:space="preserve">lab scale: iOLab 201.89 g + both rolls 352.62 g</t>
  </si>
  <si>
    <t xml:space="preserve">m rolls, both</t>
  </si>
  <si>
    <t xml:space="preserve">lab scale</t>
  </si>
  <si>
    <t xml:space="preserve">m iOLab</t>
  </si>
  <si>
    <t xml:space="preserve">R, outer radius of a roll</t>
  </si>
  <si>
    <t xml:space="preserve">m</t>
  </si>
  <si>
    <t xml:space="preserve">outer diameter 10.2 cm, folding rule</t>
  </si>
  <si>
    <t xml:space="preserve">r, hole radius of a roll</t>
  </si>
  <si>
    <t xml:space="preserve">hole diameter 7.6 cm, folding rule</t>
  </si>
  <si>
    <t xml:space="preserve">θ</t>
  </si>
  <si>
    <t xml:space="preserve">degree</t>
  </si>
  <si>
    <t xml:space="preserve">phone app on the board</t>
  </si>
  <si>
    <t xml:space="preserve">sin θ</t>
  </si>
  <si>
    <t xml:space="preserve">from θ</t>
  </si>
  <si>
    <t xml:space="preserve">Gyroscope scale, relative</t>
  </si>
  <si>
    <t xml:space="preserve">not calibrated, 1 % allowed</t>
  </si>
  <si>
    <t xml:space="preserve">Screen reading, relative</t>
  </si>
  <si>
    <t xml:space="preserve">axis scales from the grid lines</t>
  </si>
  <si>
    <t xml:space="preserve">Cardboard core wall</t>
  </si>
  <si>
    <t xml:space="preserve">estimate from the photos, roll model term only</t>
  </si>
  <si>
    <t xml:space="preserve">Cardboard core mass, one roll</t>
  </si>
  <si>
    <t xml:space="preserve">estimate, roll model term only</t>
  </si>
  <si>
    <t xml:space="preserve">I rolls, ½ m (r² + R²)</t>
  </si>
  <si>
    <t xml:space="preserve">kg m²</t>
  </si>
  <si>
    <t xml:space="preserve">hollow cylinder</t>
  </si>
  <si>
    <t xml:space="preserve">I rolls, two layer model</t>
  </si>
  <si>
    <t xml:space="preserve">core lighter than tape</t>
  </si>
  <si>
    <t xml:space="preserve">M R²</t>
  </si>
  <si>
    <t xml:space="preserve">Blue: measured or read values. Black: formulas.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</si>
</sst>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0.000"/>
    <numFmt numFmtId="166" formatCode="0.00"/>
    <numFmt numFmtId="167" formatCode="0.0000E+00"/>
    <numFmt numFmtId="168" formatCode="0.0"/>
    <numFmt numFmtId="169" formatCode="0.00E+00"/>
    <numFmt numFmtId="170" formatCode="0.00000"/>
    <numFmt numFmtId="171" formatCode="0.0000"/>
    <numFmt numFmtId="172" formatCode="0.000E+0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color rgb="FF555555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E8EEF6"/>
        <bgColor rgb="FFCCFFFF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999999"/>
      </bottom>
      <diagonal/>
    </border>
    <border diagonalUp="false" diagonalDown="false">
      <left/>
      <right/>
      <top style="thin">
        <color rgb="FF999999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8EEF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"/>
    <col collapsed="false" customWidth="true" hidden="false" outlineLevel="0" max="3" min="3" style="0" width="16"/>
    <col collapsed="false" customWidth="true" hidden="false" outlineLevel="0" max="4" min="4" style="0" width="30"/>
  </cols>
  <sheetData>
    <row r="1" customFormat="false" ht="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  <c r="B2" s="2" t="s">
        <v>2</v>
      </c>
      <c r="C2" s="2" t="s">
        <v>3</v>
      </c>
      <c r="D2" s="2" t="s">
        <v>4</v>
      </c>
    </row>
    <row r="3" customFormat="false" ht="15" hidden="false" customHeight="false" outlineLevel="0" collapsed="false">
      <c r="A3" s="3" t="s">
        <v>5</v>
      </c>
      <c r="B3" s="4" t="n">
        <v>190</v>
      </c>
      <c r="C3" s="3" t="s">
        <v>6</v>
      </c>
      <c r="D3" s="3"/>
    </row>
    <row r="4" customFormat="false" ht="15" hidden="false" customHeight="false" outlineLevel="0" collapsed="false">
      <c r="A4" s="3" t="s">
        <v>7</v>
      </c>
      <c r="B4" s="4" t="n">
        <v>400</v>
      </c>
      <c r="C4" s="3" t="s">
        <v>6</v>
      </c>
      <c r="D4" s="3" t="s">
        <v>8</v>
      </c>
    </row>
    <row r="5" customFormat="false" ht="15" hidden="false" customHeight="false" outlineLevel="0" collapsed="false">
      <c r="A5" s="3" t="s">
        <v>9</v>
      </c>
      <c r="B5" s="4" t="n">
        <v>80</v>
      </c>
      <c r="C5" s="3" t="s">
        <v>6</v>
      </c>
      <c r="D5" s="3" t="s">
        <v>8</v>
      </c>
    </row>
    <row r="6" customFormat="false" ht="15" hidden="false" customHeight="false" outlineLevel="0" collapsed="false">
      <c r="A6" s="3" t="s">
        <v>10</v>
      </c>
      <c r="B6" s="4" t="n">
        <v>20</v>
      </c>
      <c r="C6" s="3" t="s">
        <v>11</v>
      </c>
      <c r="D6" s="3" t="s">
        <v>12</v>
      </c>
    </row>
    <row r="7" customFormat="false" ht="15" hidden="false" customHeight="false" outlineLevel="0" collapsed="false">
      <c r="A7" s="3" t="s">
        <v>13</v>
      </c>
      <c r="B7" s="5" t="n">
        <v>0.011</v>
      </c>
      <c r="C7" s="3" t="s">
        <v>14</v>
      </c>
      <c r="D7" s="3"/>
    </row>
    <row r="8" customFormat="false" ht="15" hidden="false" customHeight="false" outlineLevel="0" collapsed="false">
      <c r="A8" s="3" t="s">
        <v>15</v>
      </c>
      <c r="B8" s="6" t="n">
        <v>0.1</v>
      </c>
      <c r="C8" s="3" t="s">
        <v>16</v>
      </c>
      <c r="D8" s="3"/>
    </row>
    <row r="10" customFormat="false" ht="15" hidden="false" customHeight="false" outlineLevel="0" collapsed="false">
      <c r="A10" s="7" t="s">
        <v>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3"/>
    <col collapsed="false" customWidth="true" hidden="false" outlineLevel="0" max="3" min="3" style="0" width="16"/>
    <col collapsed="false" customWidth="true" hidden="false" outlineLevel="0" max="4" min="4" style="0" width="15"/>
    <col collapsed="false" customWidth="true" hidden="false" outlineLevel="0" max="5" min="5" style="0" width="16"/>
    <col collapsed="false" customWidth="true" hidden="false" outlineLevel="0" max="6" min="6" style="0" width="18"/>
  </cols>
  <sheetData>
    <row r="1" customFormat="false" ht="15" hidden="false" customHeight="false" outlineLevel="0" collapsed="false">
      <c r="A1" s="1" t="s">
        <v>18</v>
      </c>
    </row>
    <row r="2" customFormat="false" ht="23.85" hidden="false" customHeight="false" outlineLevel="0" collapsed="false">
      <c r="A2" s="2" t="s">
        <v>19</v>
      </c>
      <c r="B2" s="2" t="s">
        <v>20</v>
      </c>
      <c r="C2" s="2" t="s">
        <v>21</v>
      </c>
      <c r="D2" s="2" t="s">
        <v>22</v>
      </c>
      <c r="E2" s="2" t="s">
        <v>23</v>
      </c>
      <c r="F2" s="2" t="s">
        <v>24</v>
      </c>
    </row>
    <row r="3" customFormat="false" ht="15" hidden="false" customHeight="false" outlineLevel="0" collapsed="false">
      <c r="A3" s="3" t="n">
        <v>1</v>
      </c>
      <c r="B3" s="5" t="n">
        <v>1.8291</v>
      </c>
      <c r="C3" s="5" t="n">
        <v>2.8187</v>
      </c>
      <c r="D3" s="5" t="n">
        <v>3.0714</v>
      </c>
      <c r="E3" s="8" t="n">
        <f aca="false">C3-B3</f>
        <v>0.9896</v>
      </c>
      <c r="F3" s="8" t="n">
        <f aca="false">D3-B3</f>
        <v>1.2423</v>
      </c>
    </row>
    <row r="4" customFormat="false" ht="15" hidden="false" customHeight="false" outlineLevel="0" collapsed="false">
      <c r="A4" s="3" t="n">
        <v>2</v>
      </c>
      <c r="B4" s="5" t="n">
        <v>1.95</v>
      </c>
      <c r="C4" s="5" t="n">
        <v>2.9457</v>
      </c>
      <c r="D4" s="5" t="n">
        <v>3.1322</v>
      </c>
      <c r="E4" s="8" t="n">
        <f aca="false">C4-B4</f>
        <v>0.9957</v>
      </c>
      <c r="F4" s="8" t="n">
        <f aca="false">D4-B4</f>
        <v>1.1822</v>
      </c>
    </row>
    <row r="5" customFormat="false" ht="15" hidden="false" customHeight="false" outlineLevel="0" collapsed="false">
      <c r="A5" s="3" t="n">
        <v>3</v>
      </c>
      <c r="B5" s="5" t="n">
        <v>1.4472</v>
      </c>
      <c r="C5" s="5" t="n">
        <v>2.4323</v>
      </c>
      <c r="D5" s="5" t="n">
        <v>2.6313</v>
      </c>
      <c r="E5" s="8" t="n">
        <f aca="false">C5-B5</f>
        <v>0.9851</v>
      </c>
      <c r="F5" s="8" t="n">
        <f aca="false">D5-B5</f>
        <v>1.1841</v>
      </c>
    </row>
    <row r="6" customFormat="false" ht="15" hidden="false" customHeight="false" outlineLevel="0" collapsed="false">
      <c r="A6" s="3" t="n">
        <v>4</v>
      </c>
      <c r="B6" s="5" t="n">
        <v>1.6804</v>
      </c>
      <c r="C6" s="5" t="n">
        <v>2.667</v>
      </c>
      <c r="D6" s="5" t="n">
        <v>2.8548</v>
      </c>
      <c r="E6" s="8" t="n">
        <f aca="false">C6-B6</f>
        <v>0.9866</v>
      </c>
      <c r="F6" s="8" t="n">
        <f aca="false">D6-B6</f>
        <v>1.1744</v>
      </c>
    </row>
    <row r="7" customFormat="false" ht="15" hidden="false" customHeight="false" outlineLevel="0" collapsed="false">
      <c r="A7" s="3" t="n">
        <v>5</v>
      </c>
      <c r="B7" s="5" t="n">
        <v>1.743</v>
      </c>
      <c r="C7" s="5" t="n">
        <v>2.7203</v>
      </c>
      <c r="D7" s="5" t="n">
        <v>2.9064</v>
      </c>
      <c r="E7" s="8" t="n">
        <f aca="false">C7-B7</f>
        <v>0.9773</v>
      </c>
      <c r="F7" s="8" t="n">
        <f aca="false">D7-B7</f>
        <v>1.1634</v>
      </c>
    </row>
    <row r="8" customFormat="false" ht="15" hidden="false" customHeight="false" outlineLevel="0" collapsed="false">
      <c r="A8" s="9" t="s">
        <v>25</v>
      </c>
      <c r="B8" s="10"/>
      <c r="C8" s="10"/>
      <c r="D8" s="10"/>
      <c r="E8" s="11" t="n">
        <f aca="false">AVERAGE(E3:E7)</f>
        <v>0.98686</v>
      </c>
      <c r="F8" s="11" t="n">
        <f aca="false">AVERAGE(F3:F7)</f>
        <v>1.18928</v>
      </c>
    </row>
    <row r="10" customFormat="false" ht="15" hidden="false" customHeight="false" outlineLevel="0" collapsed="false">
      <c r="A10" s="7" t="s">
        <v>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3"/>
    <col collapsed="false" customWidth="true" hidden="false" outlineLevel="0" max="3" min="3" style="0" width="11"/>
    <col collapsed="false" customWidth="true" hidden="false" outlineLevel="0" max="4" min="4" style="0" width="13"/>
    <col collapsed="false" customWidth="true" hidden="false" outlineLevel="0" max="5" min="5" style="0" width="11"/>
    <col collapsed="false" customWidth="true" hidden="false" outlineLevel="0" max="11" min="6" style="0" width="15"/>
  </cols>
  <sheetData>
    <row r="1" customFormat="false" ht="15" hidden="false" customHeight="false" outlineLevel="0" collapsed="false">
      <c r="A1" s="1" t="s">
        <v>27</v>
      </c>
    </row>
    <row r="2" customFormat="false" ht="23.85" hidden="false" customHeight="false" outlineLevel="0" collapsed="false">
      <c r="A2" s="2" t="s">
        <v>19</v>
      </c>
      <c r="B2" s="2" t="s">
        <v>28</v>
      </c>
      <c r="C2" s="2" t="s">
        <v>29</v>
      </c>
      <c r="D2" s="2" t="s">
        <v>30</v>
      </c>
      <c r="E2" s="2" t="s">
        <v>31</v>
      </c>
      <c r="F2" s="2" t="s">
        <v>32</v>
      </c>
      <c r="G2" s="2" t="s">
        <v>33</v>
      </c>
      <c r="H2" s="2" t="s">
        <v>34</v>
      </c>
      <c r="I2" s="2" t="s">
        <v>35</v>
      </c>
      <c r="J2" s="2" t="s">
        <v>36</v>
      </c>
      <c r="K2" s="2" t="s">
        <v>37</v>
      </c>
    </row>
    <row r="3" customFormat="false" ht="15" hidden="false" customHeight="false" outlineLevel="0" collapsed="false">
      <c r="A3" s="3" t="n">
        <v>1</v>
      </c>
      <c r="B3" s="5" t="n">
        <v>19.8451</v>
      </c>
      <c r="C3" s="5" t="n">
        <v>0.03</v>
      </c>
      <c r="D3" s="5" t="n">
        <v>39.6538</v>
      </c>
      <c r="E3" s="5" t="n">
        <v>0.0616</v>
      </c>
      <c r="F3" s="6" t="n">
        <v>9.6537</v>
      </c>
      <c r="G3" s="8" t="n">
        <f aca="false">F3*Inputs!$B$7</f>
        <v>0.4923387</v>
      </c>
      <c r="H3" s="12" t="n">
        <f aca="false">(J3-Inputs!$B$17-Inputs!$B$15)*10^4</f>
        <v>6.60986274362369</v>
      </c>
      <c r="I3" s="12" t="n">
        <f aca="false">(K3-Inputs!$B$17-Inputs!$B$15)*10^4</f>
        <v>6.58403308221337</v>
      </c>
      <c r="J3" s="13" t="n">
        <f aca="false">2*Inputs!$B$4*Inputs!$B$3*Inputs!$B$7*Inputs!$B$10/D3</f>
        <v>0.00281644073436237</v>
      </c>
      <c r="K3" s="13" t="n">
        <f aca="false">Inputs!$B$4*Inputs!$B$3*Inputs!$B$7*Inputs!$B$10/B3</f>
        <v>0.00281385776822134</v>
      </c>
    </row>
    <row r="4" customFormat="false" ht="15" hidden="false" customHeight="false" outlineLevel="0" collapsed="false">
      <c r="A4" s="3" t="n">
        <v>2</v>
      </c>
      <c r="B4" s="5" t="n">
        <v>19.6104</v>
      </c>
      <c r="C4" s="5" t="n">
        <v>0.0338</v>
      </c>
      <c r="D4" s="5" t="n">
        <v>39.2207</v>
      </c>
      <c r="E4" s="5" t="n">
        <v>0.082</v>
      </c>
      <c r="F4" s="6" t="n">
        <v>9.6719</v>
      </c>
      <c r="G4" s="8" t="n">
        <f aca="false">F4*Inputs!$B$7</f>
        <v>0.4932669</v>
      </c>
      <c r="H4" s="12" t="n">
        <f aca="false">(J4-Inputs!$B$17-Inputs!$B$15)*10^4</f>
        <v>6.92087210400031</v>
      </c>
      <c r="I4" s="12" t="n">
        <f aca="false">(K4-Inputs!$B$17-Inputs!$B$15)*10^4</f>
        <v>6.92079950115513</v>
      </c>
      <c r="J4" s="13" t="n">
        <f aca="false">2*Inputs!$B$4*Inputs!$B$3*Inputs!$B$7*Inputs!$B$10/D4</f>
        <v>0.00284754167040003</v>
      </c>
      <c r="K4" s="13" t="n">
        <f aca="false">Inputs!$B$4*Inputs!$B$3*Inputs!$B$7*Inputs!$B$10/B4</f>
        <v>0.00284753441011551</v>
      </c>
    </row>
    <row r="5" customFormat="false" ht="15" hidden="false" customHeight="false" outlineLevel="0" collapsed="false">
      <c r="A5" s="3" t="n">
        <v>3</v>
      </c>
      <c r="B5" s="5" t="n">
        <v>19.8722</v>
      </c>
      <c r="C5" s="5" t="n">
        <v>0.0358</v>
      </c>
      <c r="D5" s="5" t="n">
        <v>39.641</v>
      </c>
      <c r="E5" s="5" t="n">
        <v>0.0886</v>
      </c>
      <c r="F5" s="6" t="n">
        <v>9.527</v>
      </c>
      <c r="G5" s="8" t="n">
        <f aca="false">F5*Inputs!$B$7</f>
        <v>0.485877</v>
      </c>
      <c r="H5" s="12" t="n">
        <f aca="false">(J5-Inputs!$B$17-Inputs!$B$15)*10^4</f>
        <v>6.61895697469753</v>
      </c>
      <c r="I5" s="12" t="n">
        <f aca="false">(K5-Inputs!$B$17-Inputs!$B$15)*10^4</f>
        <v>6.54566010613684</v>
      </c>
      <c r="J5" s="13" t="n">
        <f aca="false">2*Inputs!$B$4*Inputs!$B$3*Inputs!$B$7*Inputs!$B$10/D5</f>
        <v>0.00281735015746975</v>
      </c>
      <c r="K5" s="13" t="n">
        <f aca="false">Inputs!$B$4*Inputs!$B$3*Inputs!$B$7*Inputs!$B$10/B5</f>
        <v>0.00281002047061368</v>
      </c>
    </row>
    <row r="6" customFormat="false" ht="15" hidden="false" customHeight="false" outlineLevel="0" collapsed="false">
      <c r="A6" s="3" t="n">
        <v>4</v>
      </c>
      <c r="B6" s="5" t="n">
        <v>19.8211</v>
      </c>
      <c r="C6" s="5" t="n">
        <v>0.0326</v>
      </c>
      <c r="D6" s="5" t="n">
        <v>39.6838</v>
      </c>
      <c r="E6" s="5" t="n">
        <v>0.0676</v>
      </c>
      <c r="F6" s="6" t="n">
        <v>9.5657</v>
      </c>
      <c r="G6" s="8" t="n">
        <f aca="false">F6*Inputs!$B$7</f>
        <v>0.4878507</v>
      </c>
      <c r="H6" s="12" t="n">
        <f aca="false">(J6-Inputs!$B$17-Inputs!$B$15)*10^4</f>
        <v>6.58857112789363</v>
      </c>
      <c r="I6" s="12" t="n">
        <f aca="false">(K6-Inputs!$B$17-Inputs!$B$15)*10^4</f>
        <v>6.61810414105334</v>
      </c>
      <c r="J6" s="13" t="n">
        <f aca="false">2*Inputs!$B$4*Inputs!$B$3*Inputs!$B$7*Inputs!$B$10/D6</f>
        <v>0.00281431157278936</v>
      </c>
      <c r="K6" s="13" t="n">
        <f aca="false">Inputs!$B$4*Inputs!$B$3*Inputs!$B$7*Inputs!$B$10/B6</f>
        <v>0.00281726487410533</v>
      </c>
    </row>
    <row r="7" customFormat="false" ht="15" hidden="false" customHeight="false" outlineLevel="0" collapsed="false">
      <c r="A7" s="3" t="n">
        <v>5</v>
      </c>
      <c r="B7" s="5" t="n">
        <v>20.1558</v>
      </c>
      <c r="C7" s="5" t="n">
        <v>0.0343</v>
      </c>
      <c r="D7" s="5" t="n">
        <v>40.3086</v>
      </c>
      <c r="E7" s="5" t="n">
        <v>0.079</v>
      </c>
      <c r="F7" s="6" t="n">
        <v>9.449</v>
      </c>
      <c r="G7" s="8" t="n">
        <f aca="false">F7*Inputs!$B$7</f>
        <v>0.481899</v>
      </c>
      <c r="H7" s="12" t="n">
        <f aca="false">(J7-Inputs!$B$17-Inputs!$B$15)*10^4</f>
        <v>6.15234117431578</v>
      </c>
      <c r="I7" s="12" t="n">
        <f aca="false">(K7-Inputs!$B$17-Inputs!$B$15)*10^4</f>
        <v>6.15027922050291</v>
      </c>
      <c r="J7" s="13" t="n">
        <f aca="false">2*Inputs!$B$4*Inputs!$B$3*Inputs!$B$7*Inputs!$B$10/D7</f>
        <v>0.00277068857743158</v>
      </c>
      <c r="K7" s="13" t="n">
        <f aca="false">Inputs!$B$4*Inputs!$B$3*Inputs!$B$7*Inputs!$B$10/B7</f>
        <v>0.00277048238205029</v>
      </c>
    </row>
    <row r="8" customFormat="false" ht="15" hidden="false" customHeight="false" outlineLevel="0" collapsed="false">
      <c r="A8" s="9" t="s">
        <v>25</v>
      </c>
      <c r="B8" s="14" t="n">
        <f aca="false">AVERAGE(B3:B7)</f>
        <v>19.86092</v>
      </c>
      <c r="C8" s="10"/>
      <c r="D8" s="14" t="n">
        <f aca="false">AVERAGE(D3:D7)</f>
        <v>39.70158</v>
      </c>
      <c r="E8" s="10"/>
      <c r="F8" s="14" t="n">
        <f aca="false">AVERAGE(F3:F7)</f>
        <v>9.57346</v>
      </c>
      <c r="G8" s="11" t="n">
        <f aca="false">AVERAGE(G3:G7)</f>
        <v>0.48824646</v>
      </c>
      <c r="H8" s="10"/>
      <c r="I8" s="10"/>
      <c r="J8" s="10"/>
      <c r="K8" s="10"/>
    </row>
    <row r="9" customFormat="false" ht="15" hidden="false" customHeight="false" outlineLevel="0" collapsed="false">
      <c r="A9" s="15" t="s">
        <v>38</v>
      </c>
      <c r="B9" s="16" t="n">
        <f aca="false">STDEV(B3:B7)/SQRT(COUNT(B3:B7))</f>
        <v>0.0870854832908448</v>
      </c>
      <c r="D9" s="16" t="n">
        <f aca="false">STDEV(D3:D7)/SQRT(COUNT(D3:D7))</f>
        <v>0.174067206561144</v>
      </c>
    </row>
    <row r="10" customFormat="false" ht="15" hidden="false" customHeight="false" outlineLevel="0" collapsed="false">
      <c r="A10" s="15" t="s">
        <v>39</v>
      </c>
      <c r="H10" s="17" t="n">
        <f aca="false">(J10-Inputs!$B$17-Inputs!$B$15)*10^4</f>
        <v>6.5759674834633</v>
      </c>
      <c r="I10" s="17" t="n">
        <f aca="false">(K10-Inputs!$B$17-Inputs!$B$15)*10^4</f>
        <v>6.56161960393881</v>
      </c>
      <c r="J10" s="18" t="n">
        <f aca="false">2*Inputs!$B$4*Inputs!$B$3*Inputs!$B$7*Inputs!$B$10/D8</f>
        <v>0.00281305120834633</v>
      </c>
      <c r="K10" s="18" t="n">
        <f aca="false">Inputs!$B$4*Inputs!$B$3*Inputs!$B$7*Inputs!$B$10/B8</f>
        <v>0.00281161642039388</v>
      </c>
    </row>
    <row r="11" customFormat="false" ht="15" hidden="false" customHeight="false" outlineLevel="0" collapsed="false">
      <c r="A11" s="15" t="s">
        <v>40</v>
      </c>
      <c r="H11" s="17" t="n">
        <f aca="false">'Uncertainty budget'!B12*10^4</f>
        <v>0.643955914754251</v>
      </c>
      <c r="I11" s="17" t="n">
        <f aca="false">'Uncertainty budget'!C12*10^4</f>
        <v>0.643721572254344</v>
      </c>
    </row>
    <row r="13" customFormat="false" ht="15" hidden="false" customHeight="false" outlineLevel="0" collapsed="false">
      <c r="A13" s="7" t="s">
        <v>41</v>
      </c>
    </row>
    <row r="14" customFormat="false" ht="15" hidden="false" customHeight="false" outlineLevel="0" collapsed="false">
      <c r="A14" s="7" t="s">
        <v>42</v>
      </c>
    </row>
    <row r="15" customFormat="false" ht="15" hidden="false" customHeight="false" outlineLevel="0" collapsed="false">
      <c r="A15" s="7" t="s">
        <v>43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3" min="2" style="0" width="15"/>
    <col collapsed="false" customWidth="true" hidden="false" outlineLevel="0" max="4" min="4" style="0" width="40"/>
  </cols>
  <sheetData>
    <row r="1" customFormat="false" ht="15" hidden="false" customHeight="false" outlineLevel="0" collapsed="false">
      <c r="A1" s="1" t="s">
        <v>44</v>
      </c>
    </row>
    <row r="2" customFormat="false" ht="15" hidden="false" customHeight="false" outlineLevel="0" collapsed="false">
      <c r="A2" s="2" t="s">
        <v>45</v>
      </c>
      <c r="B2" s="2" t="s">
        <v>46</v>
      </c>
      <c r="C2" s="2" t="s">
        <v>47</v>
      </c>
      <c r="D2" s="2" t="s">
        <v>48</v>
      </c>
    </row>
    <row r="3" customFormat="false" ht="15" hidden="false" customHeight="false" outlineLevel="0" collapsed="false">
      <c r="A3" s="3" t="s">
        <v>49</v>
      </c>
      <c r="B3" s="19" t="n">
        <f aca="false">'Slopes and results'!$J$10*Inputs!$C$10/Inputs!$B$10</f>
        <v>4.78363922341074E-005</v>
      </c>
      <c r="C3" s="19" t="n">
        <f aca="false">'Slopes and results'!$K$10*Inputs!$C$10/Inputs!$B$10</f>
        <v>4.78119934321722E-005</v>
      </c>
      <c r="D3" s="3" t="s">
        <v>50</v>
      </c>
    </row>
    <row r="4" customFormat="false" ht="15" hidden="false" customHeight="false" outlineLevel="0" collapsed="false">
      <c r="A4" s="3" t="s">
        <v>51</v>
      </c>
      <c r="B4" s="19" t="n">
        <f aca="false">'Slopes and results'!$J$10*Inputs!$B$11</f>
        <v>2.81305120834633E-005</v>
      </c>
      <c r="C4" s="19" t="n">
        <f aca="false">'Slopes and results'!$K$10*Inputs!$B$11</f>
        <v>2.81161642039388E-005</v>
      </c>
      <c r="D4" s="3" t="s">
        <v>52</v>
      </c>
    </row>
    <row r="5" customFormat="false" ht="15" hidden="false" customHeight="false" outlineLevel="0" collapsed="false">
      <c r="A5" s="3" t="s">
        <v>53</v>
      </c>
      <c r="B5" s="19" t="n">
        <f aca="false">Inputs!$B$16-Inputs!$B$15</f>
        <v>2.74941999999998E-005</v>
      </c>
      <c r="C5" s="19" t="n">
        <f aca="false">Inputs!$B$16-Inputs!$B$15</f>
        <v>2.74941999999998E-005</v>
      </c>
      <c r="D5" s="3" t="s">
        <v>54</v>
      </c>
    </row>
    <row r="6" customFormat="false" ht="15" hidden="false" customHeight="false" outlineLevel="0" collapsed="false">
      <c r="A6" s="3" t="s">
        <v>55</v>
      </c>
      <c r="B6" s="19" t="n">
        <f aca="false">'Slopes and results'!$J$10*'Slopes and results'!$D$9/'Slopes and results'!$D$8</f>
        <v>1.23335133198804E-005</v>
      </c>
      <c r="C6" s="19" t="n">
        <f aca="false">'Slopes and results'!$K$10*'Slopes and results'!$B$9/'Slopes and results'!$B$8</f>
        <v>1.2328279596236E-005</v>
      </c>
      <c r="D6" s="3" t="s">
        <v>56</v>
      </c>
    </row>
    <row r="7" customFormat="false" ht="15" hidden="false" customHeight="false" outlineLevel="0" collapsed="false">
      <c r="A7" s="3" t="s">
        <v>57</v>
      </c>
      <c r="B7" s="19" t="n">
        <f aca="false">ABS('Slopes and results'!$J$10/Inputs!$B$7-2*Inputs!$B$4*Inputs!$B$7-Inputs!$B$5*Inputs!$B$7)*Inputs!$C$7</f>
        <v>9.6928865848399E-006</v>
      </c>
      <c r="C7" s="19" t="n">
        <f aca="false">ABS('Slopes and results'!$K$10/Inputs!$B$7-2*Inputs!$B$4*Inputs!$B$7-Inputs!$B$5*Inputs!$B$7)*Inputs!$C$7</f>
        <v>9.70695313339332E-006</v>
      </c>
      <c r="D7" s="3" t="s">
        <v>58</v>
      </c>
    </row>
    <row r="8" customFormat="false" ht="15" hidden="false" customHeight="false" outlineLevel="0" collapsed="false">
      <c r="A8" s="3" t="s">
        <v>59</v>
      </c>
      <c r="B8" s="19" t="n">
        <f aca="false">Inputs!$B$5*Inputs!$B$8*Inputs!$C$8</f>
        <v>6.69978E-006</v>
      </c>
      <c r="C8" s="19" t="n">
        <f aca="false">Inputs!$B$5*Inputs!$B$8*Inputs!$C$8</f>
        <v>6.69978E-006</v>
      </c>
      <c r="D8" s="3" t="s">
        <v>60</v>
      </c>
    </row>
    <row r="9" customFormat="false" ht="15" hidden="false" customHeight="false" outlineLevel="0" collapsed="false">
      <c r="A9" s="3" t="s">
        <v>61</v>
      </c>
      <c r="B9" s="19" t="n">
        <f aca="false">'Slopes and results'!$J$10*Inputs!$B$12</f>
        <v>4.50088193335413E-006</v>
      </c>
      <c r="C9" s="19" t="n">
        <f aca="false">'Slopes and results'!$K$10*Inputs!$B$12</f>
        <v>4.49858627263021E-006</v>
      </c>
      <c r="D9" s="3" t="s">
        <v>62</v>
      </c>
    </row>
    <row r="10" customFormat="false" ht="15" hidden="false" customHeight="false" outlineLevel="0" collapsed="false">
      <c r="A10" s="3" t="s">
        <v>63</v>
      </c>
      <c r="B10" s="19" t="n">
        <f aca="false">ABS('Slopes and results'!$J$10/Inputs!$B$4-Inputs!$B$7^2)*Inputs!$C$4</f>
        <v>4.94407927123526E-008</v>
      </c>
      <c r="C10" s="19" t="n">
        <f aca="false">ABS('Slopes and results'!$K$10/Inputs!$B$4-Inputs!$B$7^2)*Inputs!$C$4</f>
        <v>4.93890429530173E-008</v>
      </c>
      <c r="D10" s="3" t="s">
        <v>64</v>
      </c>
    </row>
    <row r="12" customFormat="false" ht="15" hidden="false" customHeight="false" outlineLevel="0" collapsed="false">
      <c r="A12" s="9" t="s">
        <v>65</v>
      </c>
      <c r="B12" s="20" t="n">
        <f aca="false">SQRT(SUMSQ(B3:B10))</f>
        <v>6.43955914754251E-005</v>
      </c>
      <c r="C12" s="20" t="n">
        <f aca="false">SQRT(SUMSQ(C3:C10))</f>
        <v>6.43721572254344E-005</v>
      </c>
      <c r="D12" s="10"/>
    </row>
    <row r="14" customFormat="false" ht="15" hidden="false" customHeight="false" outlineLevel="0" collapsed="false">
      <c r="A14" s="7" t="s">
        <v>66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3" min="2" style="0" width="12"/>
    <col collapsed="false" customWidth="true" hidden="false" outlineLevel="0" max="4" min="4" style="0" width="9"/>
    <col collapsed="false" customWidth="true" hidden="false" outlineLevel="0" max="5" min="5" style="0" width="46"/>
  </cols>
  <sheetData>
    <row r="1" customFormat="false" ht="15" hidden="false" customHeight="false" outlineLevel="0" collapsed="false">
      <c r="A1" s="1" t="s">
        <v>67</v>
      </c>
    </row>
    <row r="2" customFormat="false" ht="15" hidden="false" customHeight="false" outlineLevel="0" collapsed="false">
      <c r="A2" s="2" t="s">
        <v>68</v>
      </c>
      <c r="B2" s="2" t="s">
        <v>2</v>
      </c>
      <c r="C2" s="2" t="s">
        <v>69</v>
      </c>
      <c r="D2" s="2" t="s">
        <v>3</v>
      </c>
      <c r="E2" s="2" t="s">
        <v>70</v>
      </c>
    </row>
    <row r="3" customFormat="false" ht="15" hidden="false" customHeight="false" outlineLevel="0" collapsed="false">
      <c r="A3" s="3" t="s">
        <v>71</v>
      </c>
      <c r="B3" s="4" t="n">
        <v>9.82</v>
      </c>
      <c r="D3" s="3" t="s">
        <v>72</v>
      </c>
      <c r="E3" s="3" t="s">
        <v>73</v>
      </c>
    </row>
    <row r="4" customFormat="false" ht="15" hidden="false" customHeight="false" outlineLevel="0" collapsed="false">
      <c r="A4" s="3" t="s">
        <v>74</v>
      </c>
      <c r="B4" s="21" t="n">
        <v>0.55451</v>
      </c>
      <c r="C4" s="21" t="n">
        <v>2E-005</v>
      </c>
      <c r="D4" s="3" t="s">
        <v>75</v>
      </c>
      <c r="E4" s="3" t="s">
        <v>76</v>
      </c>
    </row>
    <row r="5" customFormat="false" ht="15" hidden="false" customHeight="false" outlineLevel="0" collapsed="false">
      <c r="A5" s="3" t="s">
        <v>77</v>
      </c>
      <c r="B5" s="21" t="n">
        <v>0.35262</v>
      </c>
      <c r="D5" s="3" t="s">
        <v>75</v>
      </c>
      <c r="E5" s="3" t="s">
        <v>78</v>
      </c>
    </row>
    <row r="6" customFormat="false" ht="15" hidden="false" customHeight="false" outlineLevel="0" collapsed="false">
      <c r="A6" s="3" t="s">
        <v>79</v>
      </c>
      <c r="B6" s="21" t="n">
        <v>0.20189</v>
      </c>
      <c r="D6" s="3" t="s">
        <v>75</v>
      </c>
      <c r="E6" s="3" t="s">
        <v>78</v>
      </c>
    </row>
    <row r="7" customFormat="false" ht="15" hidden="false" customHeight="false" outlineLevel="0" collapsed="false">
      <c r="A7" s="3" t="s">
        <v>80</v>
      </c>
      <c r="B7" s="21" t="n">
        <v>0.051</v>
      </c>
      <c r="C7" s="22" t="n">
        <v>0.0005</v>
      </c>
      <c r="D7" s="3" t="s">
        <v>81</v>
      </c>
      <c r="E7" s="3" t="s">
        <v>82</v>
      </c>
    </row>
    <row r="8" customFormat="false" ht="15" hidden="false" customHeight="false" outlineLevel="0" collapsed="false">
      <c r="A8" s="3" t="s">
        <v>83</v>
      </c>
      <c r="B8" s="21" t="n">
        <v>0.038</v>
      </c>
      <c r="C8" s="22" t="n">
        <v>0.0005</v>
      </c>
      <c r="D8" s="3" t="s">
        <v>81</v>
      </c>
      <c r="E8" s="3" t="s">
        <v>84</v>
      </c>
    </row>
    <row r="9" customFormat="false" ht="15" hidden="false" customHeight="false" outlineLevel="0" collapsed="false">
      <c r="A9" s="3" t="s">
        <v>85</v>
      </c>
      <c r="B9" s="4" t="n">
        <v>11.6</v>
      </c>
      <c r="C9" s="4" t="n">
        <v>0.2</v>
      </c>
      <c r="D9" s="3" t="s">
        <v>86</v>
      </c>
      <c r="E9" s="3" t="s">
        <v>87</v>
      </c>
    </row>
    <row r="10" customFormat="false" ht="15" hidden="false" customHeight="false" outlineLevel="0" collapsed="false">
      <c r="A10" s="3" t="s">
        <v>88</v>
      </c>
      <c r="B10" s="23" t="n">
        <f aca="false">SIN(RADIANS(B9))</f>
        <v>0.201077921145965</v>
      </c>
      <c r="C10" s="23" t="n">
        <f aca="false">COS(RADIANS(B9))*RADIANS(C9)</f>
        <v>0.00341936267531076</v>
      </c>
      <c r="E10" s="3" t="s">
        <v>89</v>
      </c>
    </row>
    <row r="11" customFormat="false" ht="15" hidden="false" customHeight="false" outlineLevel="0" collapsed="false">
      <c r="A11" s="3" t="s">
        <v>90</v>
      </c>
      <c r="B11" s="4" t="n">
        <v>0.01</v>
      </c>
      <c r="E11" s="3" t="s">
        <v>91</v>
      </c>
    </row>
    <row r="12" customFormat="false" ht="15" hidden="false" customHeight="false" outlineLevel="0" collapsed="false">
      <c r="A12" s="3" t="s">
        <v>92</v>
      </c>
      <c r="B12" s="4" t="n">
        <v>0.0016</v>
      </c>
      <c r="E12" s="3" t="s">
        <v>93</v>
      </c>
    </row>
    <row r="13" customFormat="false" ht="15" hidden="false" customHeight="false" outlineLevel="0" collapsed="false">
      <c r="A13" s="3" t="s">
        <v>94</v>
      </c>
      <c r="B13" s="4" t="n">
        <v>0.004</v>
      </c>
      <c r="D13" s="3" t="s">
        <v>81</v>
      </c>
      <c r="E13" s="3" t="s">
        <v>95</v>
      </c>
    </row>
    <row r="14" customFormat="false" ht="15" hidden="false" customHeight="false" outlineLevel="0" collapsed="false">
      <c r="A14" s="3" t="s">
        <v>96</v>
      </c>
      <c r="B14" s="4" t="n">
        <v>0.025</v>
      </c>
      <c r="D14" s="3" t="s">
        <v>75</v>
      </c>
      <c r="E14" s="3" t="s">
        <v>97</v>
      </c>
    </row>
    <row r="15" customFormat="false" ht="15" hidden="false" customHeight="false" outlineLevel="0" collapsed="false">
      <c r="A15" s="3" t="s">
        <v>98</v>
      </c>
      <c r="B15" s="24" t="n">
        <f aca="false">0.5*B5*(B8^2+B7^2)</f>
        <v>0.00071317395</v>
      </c>
      <c r="D15" s="3" t="s">
        <v>99</v>
      </c>
      <c r="E15" s="3" t="s">
        <v>100</v>
      </c>
    </row>
    <row r="16" customFormat="false" ht="15" hidden="false" customHeight="false" outlineLevel="0" collapsed="false">
      <c r="A16" s="3" t="s">
        <v>101</v>
      </c>
      <c r="B16" s="24" t="n">
        <f aca="false">0.5*(2*B14)*(B8^2+(B8+B13)^2)+0.5*(B5-2*B14)*((B8+B13)^2+B7^2)</f>
        <v>0.00074066815</v>
      </c>
      <c r="D16" s="3" t="s">
        <v>99</v>
      </c>
      <c r="E16" s="3" t="s">
        <v>102</v>
      </c>
    </row>
    <row r="17" customFormat="false" ht="15" hidden="false" customHeight="false" outlineLevel="0" collapsed="false">
      <c r="A17" s="3" t="s">
        <v>103</v>
      </c>
      <c r="B17" s="24" t="n">
        <f aca="false">B4*B7^2</f>
        <v>0.00144228051</v>
      </c>
      <c r="D17" s="3" t="s">
        <v>99</v>
      </c>
    </row>
    <row r="19" customFormat="false" ht="15" hidden="false" customHeight="false" outlineLevel="0" collapsed="false">
      <c r="A19" s="7" t="s">
        <v>104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2026-10-23T13:34:30Z</dcterms:created>
  <dc:creator>openpyxl</dc:creator>
  <dc:description/>
  <dc:language>en-US</dc:language>
  <cp:lastModifiedBy/>
  <dcterms:modified xsi:type="dcterms:W3CDTF">2026-10-23T13:34:30Z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